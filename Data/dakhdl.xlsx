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10332" activeTab="4"/>
  </bookViews>
  <sheets>
    <sheet name="Tổng Lực lượng lao động" sheetId="10" r:id="rId1"/>
    <sheet name="Có việc làm" sheetId="15" r:id="rId2"/>
    <sheet name="Thu nhập bình quân của 1 lđ" sheetId="11" r:id="rId3"/>
    <sheet name="Thất nghiệp, thiếu việc làm" sheetId="14" r:id="rId4"/>
    <sheet name="Trình độ" sheetId="1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7" l="1"/>
  <c r="I3" i="15" l="1"/>
  <c r="I4" i="15"/>
  <c r="I5" i="15"/>
  <c r="I6" i="15"/>
  <c r="I2" i="15"/>
  <c r="F7" i="15" l="1"/>
  <c r="F7" i="10"/>
  <c r="C7" i="10"/>
</calcChain>
</file>

<file path=xl/sharedStrings.xml><?xml version="1.0" encoding="utf-8"?>
<sst xmlns="http://schemas.openxmlformats.org/spreadsheetml/2006/main" count="39" uniqueCount="23">
  <si>
    <t>Nông thôn</t>
  </si>
  <si>
    <t>Thành thị</t>
  </si>
  <si>
    <t>Tổng số</t>
  </si>
  <si>
    <t>Năm</t>
  </si>
  <si>
    <t>Tỷ lệ thiếu việc làm (Chung)</t>
  </si>
  <si>
    <t>Tỷ lệ thất nghiệp (Nữ)</t>
  </si>
  <si>
    <t>Tỷ lệ thất nghiệp (Nam)</t>
  </si>
  <si>
    <t>Tỷ lệ thất nghiệp (Chung)</t>
  </si>
  <si>
    <t>Nam</t>
  </si>
  <si>
    <t>Nữ</t>
  </si>
  <si>
    <t>Tỷ lệ Nam (%)</t>
  </si>
  <si>
    <t>Tỷ lệ Nữ (%)</t>
  </si>
  <si>
    <t>Tỷ lệ Thành thị (%)</t>
  </si>
  <si>
    <t>Tỷ lệ Nông thôn (%)</t>
  </si>
  <si>
    <t>Tổng số (%)</t>
  </si>
  <si>
    <t>Tỷ lệ thất nghiệp Thành thị</t>
  </si>
  <si>
    <t>Tỷ lệ thất nghiệp Nông thôn</t>
  </si>
  <si>
    <t>Cả nước</t>
  </si>
  <si>
    <t>TỔNG SỐ</t>
  </si>
  <si>
    <t>Sơ cấp</t>
  </si>
  <si>
    <t>Trung cấp</t>
  </si>
  <si>
    <t>Cao đẳng</t>
  </si>
  <si>
    <t>Đại học trở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</si>
</sst>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\-yy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/>
    <xf numFmtId="0" fontId="2" fillId="0" borderId="0" applyNumberFormat="0" applyBorder="0" applyAlignment="0"/>
  </cellStyleXfs>
  <cellXfs count="8">
    <xf numFmtId="0" fontId="0" fillId="0" borderId="0" xfId="0"/>
    <xf numFmtId="0" fontId="3" fillId="0" borderId="0" xfId="2" applyNumberFormat="1" applyFont="1" applyFill="1" applyProtection="1"/>
    <xf numFmtId="0" fontId="4" fillId="0" borderId="0" xfId="0" applyNumberFormat="1" applyFont="1" applyFill="1" applyBorder="1" applyAlignment="1" applyProtection="1"/>
    <xf numFmtId="0" fontId="2" fillId="0" borderId="0" xfId="2" applyFill="1" applyProtection="1"/>
    <xf numFmtId="0" fontId="3" fillId="0" borderId="0" xfId="2" applyFont="1" applyFill="1" applyProtection="1"/>
    <xf numFmtId="0" fontId="5" fillId="0" borderId="0" xfId="0" applyNumberFormat="1" applyFont="1" applyFill="1" applyBorder="1" applyAlignment="1" applyProtection="1"/>
    <xf numFmtId="0" fontId="0" fillId="0" borderId="0" xfId="0" applyFill="1" applyProtection="1"/>
    <xf numFmtId="0" fontId="3" fillId="0" borderId="0" xfId="0" applyFont="1" applyFill="1" applyProtection="1"/>
  </cellXfs>
  <cellStyles count="3">
    <cellStyle name="Normal" xfId="0" builtinId="0"/>
    <cellStyle name="Normal 2" xfId="2"/>
    <cellStyle name="Normal 2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3" sqref="D3"/>
    </sheetView>
  </sheetViews>
  <sheetFormatPr defaultColWidth="8.77734375" defaultRowHeight="14.4" x14ac:dyDescent="0.3"/>
  <cols>
    <col min="1" max="1" width="12.5546875" style="3" customWidth="1"/>
    <col min="2" max="4" width="9.5546875" style="3" customWidth="1"/>
    <col min="5" max="5" width="11.21875" style="3" customWidth="1"/>
    <col min="6" max="6" width="12.21875" style="3" customWidth="1"/>
    <col min="7" max="7" width="10.44140625" style="3" bestFit="1" customWidth="1"/>
    <col min="8" max="8" width="12.21875" style="3" bestFit="1" customWidth="1"/>
    <col min="9" max="9" width="10.77734375" style="3" bestFit="1" customWidth="1"/>
    <col min="10" max="11" width="17.21875" style="3" bestFit="1" customWidth="1"/>
    <col min="12" max="16384" width="8.77734375" style="3"/>
  </cols>
  <sheetData>
    <row r="1" spans="1:11" x14ac:dyDescent="0.3">
      <c r="A1" s="4" t="s">
        <v>3</v>
      </c>
      <c r="B1" s="4" t="s">
        <v>2</v>
      </c>
      <c r="C1" s="4" t="s">
        <v>8</v>
      </c>
      <c r="D1" s="4" t="s">
        <v>9</v>
      </c>
      <c r="E1" s="4" t="s">
        <v>1</v>
      </c>
      <c r="F1" s="4" t="s">
        <v>0</v>
      </c>
      <c r="G1" s="4" t="s">
        <v>14</v>
      </c>
      <c r="H1" s="4" t="s">
        <v>10</v>
      </c>
      <c r="I1" s="4" t="s">
        <v>11</v>
      </c>
      <c r="J1" s="4" t="s">
        <v>12</v>
      </c>
      <c r="K1" s="4" t="s">
        <v>13</v>
      </c>
    </row>
    <row r="2" spans="1:11" x14ac:dyDescent="0.3">
      <c r="A2" s="1">
        <v>2018</v>
      </c>
      <c r="B2" s="3">
        <v>55388</v>
      </c>
      <c r="C2" s="3">
        <v>28911.4</v>
      </c>
      <c r="D2" s="3">
        <v>26476.6</v>
      </c>
      <c r="E2" s="3">
        <v>17864.2</v>
      </c>
      <c r="F2" s="3">
        <v>37523.800000000003</v>
      </c>
      <c r="G2" s="3">
        <v>100</v>
      </c>
      <c r="H2" s="3">
        <v>52.2</v>
      </c>
      <c r="I2" s="3">
        <v>47.8</v>
      </c>
      <c r="J2" s="3">
        <v>32.299999999999997</v>
      </c>
      <c r="K2" s="3">
        <v>67.7</v>
      </c>
    </row>
    <row r="3" spans="1:11" x14ac:dyDescent="0.3">
      <c r="A3" s="1">
        <v>2019</v>
      </c>
      <c r="B3" s="3">
        <v>55767.4</v>
      </c>
      <c r="C3" s="3">
        <v>29370.6</v>
      </c>
      <c r="D3" s="3">
        <v>26396.799999999999</v>
      </c>
      <c r="E3" s="3">
        <v>18094.5</v>
      </c>
      <c r="F3" s="3">
        <v>37672.9</v>
      </c>
      <c r="G3" s="3">
        <v>100</v>
      </c>
      <c r="H3" s="3">
        <v>52.7</v>
      </c>
      <c r="I3" s="3">
        <v>47.3</v>
      </c>
      <c r="J3" s="3">
        <v>32.4</v>
      </c>
      <c r="K3" s="3">
        <v>67.599999999999994</v>
      </c>
    </row>
    <row r="4" spans="1:11" x14ac:dyDescent="0.3">
      <c r="A4" s="1">
        <v>2020</v>
      </c>
      <c r="B4" s="3">
        <v>54842.94</v>
      </c>
      <c r="C4" s="3">
        <v>28866.11</v>
      </c>
      <c r="D4" s="3">
        <v>25976.83</v>
      </c>
      <c r="E4" s="3">
        <v>18171.93</v>
      </c>
      <c r="F4" s="3">
        <v>36671.01</v>
      </c>
      <c r="G4" s="3">
        <v>100</v>
      </c>
      <c r="H4" s="3">
        <v>52.6</v>
      </c>
      <c r="I4" s="3">
        <v>47.4</v>
      </c>
      <c r="J4" s="3">
        <v>33.1</v>
      </c>
      <c r="K4" s="3">
        <v>66.900000000000006</v>
      </c>
    </row>
    <row r="5" spans="1:11" x14ac:dyDescent="0.3">
      <c r="A5" s="1">
        <v>2021</v>
      </c>
      <c r="B5" s="3">
        <v>50560.5</v>
      </c>
      <c r="C5" s="3">
        <v>27041.3</v>
      </c>
      <c r="D5" s="3">
        <v>23519.200000000001</v>
      </c>
      <c r="E5" s="3">
        <v>18535</v>
      </c>
      <c r="F5" s="3">
        <v>32025.5</v>
      </c>
      <c r="G5" s="3">
        <v>100</v>
      </c>
      <c r="H5" s="3">
        <v>53.48</v>
      </c>
      <c r="I5" s="3">
        <v>46.52</v>
      </c>
      <c r="J5" s="3">
        <v>36.659999999999997</v>
      </c>
      <c r="K5" s="3">
        <v>63.34</v>
      </c>
    </row>
    <row r="6" spans="1:11" x14ac:dyDescent="0.3">
      <c r="A6" s="4">
        <v>2022</v>
      </c>
      <c r="B6" s="3">
        <v>51704.88</v>
      </c>
      <c r="C6" s="3">
        <v>27527.09</v>
      </c>
      <c r="D6" s="3">
        <v>24177.79</v>
      </c>
      <c r="E6" s="3">
        <v>19211.599999999999</v>
      </c>
      <c r="F6" s="3">
        <v>32493.29</v>
      </c>
      <c r="G6" s="3">
        <v>100</v>
      </c>
      <c r="H6" s="3">
        <v>53.24</v>
      </c>
      <c r="I6" s="3">
        <v>46.76</v>
      </c>
      <c r="J6" s="3">
        <v>37.159999999999997</v>
      </c>
      <c r="K6" s="3">
        <v>62.84</v>
      </c>
    </row>
    <row r="7" spans="1:11" x14ac:dyDescent="0.3">
      <c r="A7" s="4">
        <v>2023</v>
      </c>
      <c r="B7" s="3">
        <v>52400</v>
      </c>
      <c r="C7" s="3">
        <f>SUM(B7-D7)</f>
        <v>27900</v>
      </c>
      <c r="D7" s="3">
        <v>24500</v>
      </c>
      <c r="E7" s="3">
        <v>19500</v>
      </c>
      <c r="F7" s="3">
        <f>SUM(B7-E7)</f>
        <v>32900</v>
      </c>
      <c r="G7" s="3">
        <v>100</v>
      </c>
      <c r="H7" s="3">
        <v>53.3</v>
      </c>
      <c r="I7" s="3">
        <v>46.7</v>
      </c>
      <c r="J7" s="3">
        <v>37.299999999999997</v>
      </c>
      <c r="K7" s="3">
        <v>62.7</v>
      </c>
    </row>
  </sheetData>
  <pageMargins left="0.75" right="0.75" top="0.75" bottom="0.5" header="0.5" footer="0.7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J8" sqref="J8"/>
    </sheetView>
  </sheetViews>
  <sheetFormatPr defaultRowHeight="14.4" x14ac:dyDescent="0.3"/>
  <cols>
    <col min="1" max="1" width="5" bestFit="1" customWidth="1"/>
    <col min="2" max="3" width="9" bestFit="1" customWidth="1"/>
    <col min="4" max="4" width="10" bestFit="1" customWidth="1"/>
    <col min="5" max="5" width="9" bestFit="1" customWidth="1"/>
    <col min="7" max="7" width="12.5546875" bestFit="1" customWidth="1"/>
    <col min="8" max="8" width="11.21875" bestFit="1" customWidth="1"/>
    <col min="9" max="9" width="16.6640625" bestFit="1" customWidth="1"/>
    <col min="10" max="10" width="17.77734375" bestFit="1" customWidth="1"/>
  </cols>
  <sheetData>
    <row r="1" spans="1:18" x14ac:dyDescent="0.3">
      <c r="A1" s="4" t="s">
        <v>3</v>
      </c>
      <c r="B1" s="4" t="s">
        <v>2</v>
      </c>
      <c r="C1" s="4" t="s">
        <v>1</v>
      </c>
      <c r="D1" s="4" t="s">
        <v>0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7"/>
      <c r="L1" s="7"/>
      <c r="M1" s="7"/>
      <c r="N1" s="7"/>
      <c r="O1" s="7"/>
      <c r="P1" s="7"/>
      <c r="Q1" s="7"/>
      <c r="R1" s="7"/>
    </row>
    <row r="2" spans="1:18" x14ac:dyDescent="0.3">
      <c r="A2" s="1">
        <v>2018</v>
      </c>
      <c r="B2" s="3">
        <v>54282.5</v>
      </c>
      <c r="C2" s="3">
        <v>17336.599999999999</v>
      </c>
      <c r="D2" s="3">
        <v>36945.9</v>
      </c>
      <c r="E2" s="3">
        <v>28370.7</v>
      </c>
      <c r="F2" s="3">
        <v>25911.8</v>
      </c>
      <c r="G2" s="3">
        <v>59.8</v>
      </c>
      <c r="H2" s="3">
        <v>54</v>
      </c>
      <c r="I2" s="3">
        <f>SUM(100-J2)</f>
        <v>31.939999999999998</v>
      </c>
      <c r="J2" s="3">
        <v>68.06</v>
      </c>
      <c r="K2" s="6"/>
      <c r="L2" s="6"/>
      <c r="M2" s="6"/>
      <c r="N2" s="6"/>
      <c r="O2" s="6"/>
      <c r="P2" s="6"/>
      <c r="Q2" s="6"/>
      <c r="R2" s="6"/>
    </row>
    <row r="3" spans="1:18" x14ac:dyDescent="0.3">
      <c r="A3" s="1">
        <v>2019</v>
      </c>
      <c r="B3" s="3">
        <v>54659.199999999997</v>
      </c>
      <c r="C3" s="3">
        <v>17564.599999999999</v>
      </c>
      <c r="D3" s="3">
        <v>37094.6</v>
      </c>
      <c r="E3" s="3">
        <v>28792.2</v>
      </c>
      <c r="F3" s="3">
        <v>25867</v>
      </c>
      <c r="G3" s="3">
        <v>60</v>
      </c>
      <c r="H3" s="3">
        <v>53.4</v>
      </c>
      <c r="I3" s="3">
        <f t="shared" ref="I3:I6" si="0">SUM(100-J3)</f>
        <v>32.14</v>
      </c>
      <c r="J3" s="3">
        <v>67.86</v>
      </c>
      <c r="K3" s="6"/>
      <c r="L3" s="6"/>
      <c r="M3" s="6"/>
      <c r="N3" s="6"/>
      <c r="O3" s="6"/>
      <c r="P3" s="6"/>
      <c r="Q3" s="6"/>
      <c r="R3" s="6"/>
    </row>
    <row r="4" spans="1:18" x14ac:dyDescent="0.3">
      <c r="A4" s="1">
        <v>2020</v>
      </c>
      <c r="B4" s="3">
        <v>53609.58</v>
      </c>
      <c r="C4" s="3">
        <v>17519.09</v>
      </c>
      <c r="D4" s="3">
        <v>36090.49</v>
      </c>
      <c r="E4" s="3">
        <v>28324.05</v>
      </c>
      <c r="F4" s="3">
        <v>25285.53</v>
      </c>
      <c r="G4" s="3">
        <v>58.11</v>
      </c>
      <c r="H4" s="3">
        <v>51.77</v>
      </c>
      <c r="I4" s="3">
        <f t="shared" si="0"/>
        <v>32.700000000000003</v>
      </c>
      <c r="J4" s="3">
        <v>67.3</v>
      </c>
      <c r="K4" s="6"/>
      <c r="L4" s="6"/>
      <c r="M4" s="6"/>
      <c r="N4" s="6"/>
      <c r="O4" s="6"/>
      <c r="P4" s="6"/>
      <c r="Q4" s="6"/>
      <c r="R4" s="6"/>
    </row>
    <row r="5" spans="1:18" x14ac:dyDescent="0.3">
      <c r="A5" s="1">
        <v>2021</v>
      </c>
      <c r="B5" s="3">
        <v>49072</v>
      </c>
      <c r="C5" s="3">
        <v>17766.7</v>
      </c>
      <c r="D5" s="3">
        <v>31305.3</v>
      </c>
      <c r="E5" s="3">
        <v>26238.9</v>
      </c>
      <c r="F5" s="3">
        <v>22833.1</v>
      </c>
      <c r="G5" s="3">
        <v>53.45</v>
      </c>
      <c r="H5" s="3">
        <v>46.21</v>
      </c>
      <c r="I5" s="3">
        <f t="shared" si="0"/>
        <v>36.299999999999997</v>
      </c>
      <c r="J5" s="3">
        <v>63.7</v>
      </c>
      <c r="K5" s="6"/>
      <c r="L5" s="6"/>
      <c r="M5" s="6"/>
      <c r="N5" s="6"/>
      <c r="O5" s="6"/>
      <c r="P5" s="6"/>
      <c r="Q5" s="6"/>
      <c r="R5" s="6"/>
    </row>
    <row r="6" spans="1:18" x14ac:dyDescent="0.3">
      <c r="A6" s="4">
        <v>2022</v>
      </c>
      <c r="B6" s="3">
        <v>50604.71</v>
      </c>
      <c r="C6" s="3">
        <v>18706.36</v>
      </c>
      <c r="D6" s="3">
        <v>31898.3</v>
      </c>
      <c r="E6" s="3">
        <v>26918.7</v>
      </c>
      <c r="F6" s="3">
        <v>23685.96</v>
      </c>
      <c r="G6" s="3">
        <v>54.27</v>
      </c>
      <c r="H6" s="3">
        <v>47.5</v>
      </c>
      <c r="I6" s="3">
        <f t="shared" si="0"/>
        <v>36.97</v>
      </c>
      <c r="J6" s="3">
        <v>63.03</v>
      </c>
      <c r="K6" s="6"/>
      <c r="L6" s="6"/>
      <c r="M6" s="6"/>
      <c r="N6" s="6"/>
      <c r="O6" s="6"/>
      <c r="P6" s="6"/>
      <c r="Q6" s="6"/>
      <c r="R6" s="6"/>
    </row>
    <row r="7" spans="1:18" x14ac:dyDescent="0.3">
      <c r="A7" s="4">
        <v>2023</v>
      </c>
      <c r="B7" s="3">
        <v>51300</v>
      </c>
      <c r="C7" s="3">
        <v>19000</v>
      </c>
      <c r="D7" s="3">
        <v>32300</v>
      </c>
      <c r="E7" s="3">
        <v>27300</v>
      </c>
      <c r="F7" s="3">
        <f>SUM(B7-E7)</f>
        <v>24000</v>
      </c>
      <c r="G7" s="3">
        <v>53.21</v>
      </c>
      <c r="H7" s="3">
        <v>46.79</v>
      </c>
      <c r="I7" s="3">
        <v>37.03</v>
      </c>
      <c r="J7" s="3">
        <v>62.97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B15" sqref="B15"/>
    </sheetView>
  </sheetViews>
  <sheetFormatPr defaultColWidth="8.77734375" defaultRowHeight="14.4" x14ac:dyDescent="0.3"/>
  <cols>
    <col min="1" max="1" width="9.5546875" style="3" customWidth="1"/>
    <col min="2" max="2" width="12.5546875" style="3" customWidth="1"/>
    <col min="3" max="3" width="9.5546875" style="3" customWidth="1"/>
    <col min="4" max="5" width="8.5546875" style="3" customWidth="1"/>
    <col min="6" max="6" width="11.21875" style="3" customWidth="1"/>
    <col min="7" max="7" width="12.21875" style="3" customWidth="1"/>
    <col min="8" max="16384" width="8.77734375" style="3"/>
  </cols>
  <sheetData>
    <row r="1" spans="1:6" x14ac:dyDescent="0.3">
      <c r="A1" s="4" t="s">
        <v>3</v>
      </c>
      <c r="B1" s="4" t="s">
        <v>17</v>
      </c>
      <c r="C1" s="4" t="s">
        <v>8</v>
      </c>
      <c r="D1" s="4" t="s">
        <v>9</v>
      </c>
      <c r="E1" s="4" t="s">
        <v>1</v>
      </c>
      <c r="F1" s="4" t="s">
        <v>0</v>
      </c>
    </row>
    <row r="2" spans="1:6" x14ac:dyDescent="0.3">
      <c r="A2" s="4">
        <v>2018</v>
      </c>
      <c r="B2" s="3">
        <v>4849.5</v>
      </c>
      <c r="C2" s="3">
        <v>5737.7</v>
      </c>
      <c r="D2" s="3">
        <v>3877.1</v>
      </c>
      <c r="E2" s="3">
        <v>6485.8</v>
      </c>
      <c r="F2" s="3">
        <v>4081.7</v>
      </c>
    </row>
    <row r="3" spans="1:6" x14ac:dyDescent="0.3">
      <c r="A3" s="4">
        <v>2019</v>
      </c>
      <c r="B3" s="3">
        <v>5625.2</v>
      </c>
      <c r="C3" s="3">
        <v>6526.9</v>
      </c>
      <c r="D3" s="3">
        <v>4604.7</v>
      </c>
      <c r="E3" s="3">
        <v>7399</v>
      </c>
      <c r="F3" s="3">
        <v>4770.6000000000004</v>
      </c>
    </row>
    <row r="4" spans="1:6" x14ac:dyDescent="0.3">
      <c r="A4" s="4">
        <v>2020</v>
      </c>
      <c r="B4" s="3">
        <v>5445.1</v>
      </c>
      <c r="C4" s="3">
        <v>6309.7</v>
      </c>
      <c r="D4" s="3">
        <v>4476.5</v>
      </c>
      <c r="E4" s="3">
        <v>7003.8</v>
      </c>
      <c r="F4" s="3">
        <v>4688.5</v>
      </c>
    </row>
    <row r="5" spans="1:6" x14ac:dyDescent="0.3">
      <c r="A5" s="4">
        <v>2021</v>
      </c>
      <c r="B5" s="3">
        <v>5728.1</v>
      </c>
      <c r="C5" s="3">
        <v>6629.2</v>
      </c>
      <c r="D5" s="3">
        <v>4691.7</v>
      </c>
      <c r="E5" s="3">
        <v>6947.3</v>
      </c>
      <c r="F5" s="3">
        <v>5035.5</v>
      </c>
    </row>
    <row r="6" spans="1:6" x14ac:dyDescent="0.3">
      <c r="A6" s="4">
        <v>2022</v>
      </c>
      <c r="B6" s="3">
        <v>6639.4</v>
      </c>
      <c r="C6" s="3">
        <v>7574</v>
      </c>
      <c r="D6" s="3">
        <v>5577.3</v>
      </c>
      <c r="E6" s="3">
        <v>8091.3</v>
      </c>
      <c r="F6" s="3">
        <v>5788</v>
      </c>
    </row>
    <row r="7" spans="1:6" x14ac:dyDescent="0.3">
      <c r="A7" s="4">
        <v>2023</v>
      </c>
      <c r="B7" s="3">
        <v>7100</v>
      </c>
      <c r="C7" s="3">
        <v>8100</v>
      </c>
      <c r="D7" s="3">
        <v>6000</v>
      </c>
      <c r="E7" s="3">
        <v>8700</v>
      </c>
      <c r="F7" s="3">
        <v>6200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9" sqref="A1:G9"/>
    </sheetView>
  </sheetViews>
  <sheetFormatPr defaultRowHeight="14.4" x14ac:dyDescent="0.3"/>
  <cols>
    <col min="1" max="1" width="5" bestFit="1" customWidth="1"/>
    <col min="2" max="2" width="22.5546875" bestFit="1" customWidth="1"/>
    <col min="3" max="3" width="21" bestFit="1" customWidth="1"/>
    <col min="4" max="4" width="19.6640625" bestFit="1" customWidth="1"/>
    <col min="5" max="5" width="24.5546875" bestFit="1" customWidth="1"/>
    <col min="6" max="6" width="23.77734375" bestFit="1" customWidth="1"/>
    <col min="7" max="7" width="24.77734375" bestFit="1" customWidth="1"/>
  </cols>
  <sheetData>
    <row r="1" spans="1:7" x14ac:dyDescent="0.3">
      <c r="A1" s="4" t="s">
        <v>3</v>
      </c>
      <c r="B1" s="4" t="s">
        <v>7</v>
      </c>
      <c r="C1" s="4" t="s">
        <v>6</v>
      </c>
      <c r="D1" s="4" t="s">
        <v>5</v>
      </c>
      <c r="E1" s="4" t="s">
        <v>4</v>
      </c>
      <c r="F1" s="5" t="s">
        <v>15</v>
      </c>
      <c r="G1" s="5" t="s">
        <v>16</v>
      </c>
    </row>
    <row r="2" spans="1:7" x14ac:dyDescent="0.3">
      <c r="A2" s="1">
        <v>2018</v>
      </c>
      <c r="B2" s="3">
        <v>2.19</v>
      </c>
      <c r="C2" s="3">
        <v>1.97</v>
      </c>
      <c r="D2" s="3">
        <v>2.4500000000000002</v>
      </c>
      <c r="E2" s="3">
        <v>1.62</v>
      </c>
      <c r="F2" s="2">
        <v>3.1</v>
      </c>
      <c r="G2" s="2">
        <v>1.74</v>
      </c>
    </row>
    <row r="3" spans="1:7" x14ac:dyDescent="0.3">
      <c r="A3" s="1">
        <v>2019</v>
      </c>
      <c r="B3" s="3">
        <v>2.17</v>
      </c>
      <c r="C3" s="3">
        <v>2.09</v>
      </c>
      <c r="D3" s="3">
        <v>2.2599999999999998</v>
      </c>
      <c r="E3" s="3">
        <v>1.5</v>
      </c>
      <c r="F3" s="2">
        <v>3.11</v>
      </c>
      <c r="G3" s="2">
        <v>1.69</v>
      </c>
    </row>
    <row r="4" spans="1:7" x14ac:dyDescent="0.3">
      <c r="A4" s="1">
        <v>2020</v>
      </c>
      <c r="B4" s="3">
        <v>2.48</v>
      </c>
      <c r="C4" s="3">
        <v>2.0099999999999998</v>
      </c>
      <c r="D4" s="3">
        <v>3.05</v>
      </c>
      <c r="E4" s="3">
        <v>2.52</v>
      </c>
      <c r="F4" s="2">
        <v>3.89</v>
      </c>
      <c r="G4" s="2">
        <v>1.75</v>
      </c>
    </row>
    <row r="5" spans="1:7" x14ac:dyDescent="0.3">
      <c r="A5" s="1">
        <v>2021</v>
      </c>
      <c r="B5" s="3">
        <v>3.2</v>
      </c>
      <c r="C5" s="3">
        <v>3.15</v>
      </c>
      <c r="D5" s="3">
        <v>3.26</v>
      </c>
      <c r="E5" s="3">
        <v>3.1</v>
      </c>
      <c r="F5" s="2">
        <v>4.33</v>
      </c>
      <c r="G5" s="2">
        <v>2.5</v>
      </c>
    </row>
    <row r="6" spans="1:7" x14ac:dyDescent="0.3">
      <c r="A6" s="1">
        <v>2022</v>
      </c>
      <c r="B6" s="3">
        <v>2.34</v>
      </c>
      <c r="C6" s="3">
        <v>2.36</v>
      </c>
      <c r="D6" s="3">
        <v>2.3199999999999998</v>
      </c>
      <c r="E6" s="3">
        <v>2.21</v>
      </c>
      <c r="F6" s="2">
        <v>2.82</v>
      </c>
      <c r="G6" s="2">
        <v>2.04</v>
      </c>
    </row>
    <row r="7" spans="1:7" x14ac:dyDescent="0.3">
      <c r="A7" s="4">
        <v>2023</v>
      </c>
      <c r="B7" s="3">
        <v>2.2799999999999998</v>
      </c>
      <c r="C7" s="3">
        <v>2.15</v>
      </c>
      <c r="D7" s="3">
        <v>2.04</v>
      </c>
      <c r="E7" s="3">
        <v>2.0099999999999998</v>
      </c>
      <c r="F7" s="3">
        <v>2.56</v>
      </c>
      <c r="G7" s="3">
        <v>1.82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17" sqref="E17"/>
    </sheetView>
  </sheetViews>
  <sheetFormatPr defaultRowHeight="14.4" x14ac:dyDescent="0.3"/>
  <sheetData>
    <row r="1" spans="1:8" x14ac:dyDescent="0.3">
      <c r="A1" s="4"/>
      <c r="B1" s="4">
        <v>2018</v>
      </c>
      <c r="C1" s="4">
        <v>2019</v>
      </c>
      <c r="D1" s="4">
        <v>2020</v>
      </c>
      <c r="E1" s="4">
        <v>2021</v>
      </c>
      <c r="F1" s="5">
        <v>2022</v>
      </c>
      <c r="G1" s="5">
        <v>2023</v>
      </c>
      <c r="H1" s="4"/>
    </row>
    <row r="2" spans="1:8" x14ac:dyDescent="0.3">
      <c r="A2" s="1" t="s">
        <v>18</v>
      </c>
      <c r="B2" s="3">
        <v>22</v>
      </c>
      <c r="C2" s="3">
        <v>22.8</v>
      </c>
      <c r="D2" s="3">
        <v>24.05</v>
      </c>
      <c r="E2" s="3">
        <v>26.12</v>
      </c>
      <c r="F2" s="2">
        <v>26.44</v>
      </c>
      <c r="G2" s="2">
        <v>27.04</v>
      </c>
      <c r="H2" s="1"/>
    </row>
    <row r="3" spans="1:8" x14ac:dyDescent="0.3">
      <c r="A3" s="1" t="s">
        <v>19</v>
      </c>
      <c r="B3" s="3">
        <v>3.6</v>
      </c>
      <c r="C3" s="3">
        <v>3.7</v>
      </c>
      <c r="D3" s="3">
        <v>4.71</v>
      </c>
      <c r="E3" s="3">
        <v>6.78</v>
      </c>
      <c r="F3" s="2">
        <v>7.13</v>
      </c>
      <c r="G3" s="2">
        <v>7.2</v>
      </c>
      <c r="H3" s="1"/>
    </row>
    <row r="4" spans="1:8" x14ac:dyDescent="0.3">
      <c r="A4" s="1" t="s">
        <v>20</v>
      </c>
      <c r="B4" s="3">
        <v>5.2</v>
      </c>
      <c r="C4" s="3">
        <v>4.7</v>
      </c>
      <c r="D4" s="3">
        <v>4.4000000000000004</v>
      </c>
      <c r="E4" s="3">
        <v>4.1100000000000003</v>
      </c>
      <c r="F4" s="2">
        <v>3.72</v>
      </c>
      <c r="G4" s="2">
        <v>3.4</v>
      </c>
      <c r="H4" s="1"/>
    </row>
    <row r="5" spans="1:8" x14ac:dyDescent="0.3">
      <c r="A5" s="1" t="s">
        <v>21</v>
      </c>
      <c r="B5" s="3">
        <v>3.7</v>
      </c>
      <c r="C5" s="3">
        <v>3.8</v>
      </c>
      <c r="D5" s="3">
        <v>3.82</v>
      </c>
      <c r="E5" s="3">
        <v>3.57</v>
      </c>
      <c r="F5" s="2">
        <v>3.72</v>
      </c>
      <c r="G5" s="2">
        <v>4.0999999999999996</v>
      </c>
      <c r="H5" s="1"/>
    </row>
    <row r="6" spans="1:8" x14ac:dyDescent="0.3">
      <c r="A6" s="1" t="s">
        <v>22</v>
      </c>
      <c r="B6" s="3">
        <v>9.5</v>
      </c>
      <c r="C6" s="3">
        <v>10.6</v>
      </c>
      <c r="D6" s="3">
        <v>11.12</v>
      </c>
      <c r="E6" s="3">
        <v>11.67</v>
      </c>
      <c r="F6" s="2">
        <v>11.87</v>
      </c>
      <c r="G6" s="2">
        <f>SUM(G2-G3-G4-G5)</f>
        <v>12.340000000000002</v>
      </c>
      <c r="H6" s="1"/>
    </row>
    <row r="7" spans="1:8" x14ac:dyDescent="0.3">
      <c r="A7" s="4"/>
      <c r="B7" s="3"/>
      <c r="C7" s="3"/>
      <c r="D7" s="3"/>
      <c r="E7" s="3"/>
      <c r="F7" s="3"/>
      <c r="G7" s="3"/>
      <c r="H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Lực lượng lao động</vt:lpstr>
      <vt:lpstr>Có việc làm</vt:lpstr>
      <vt:lpstr>Thu nhập bình quân của 1 lđ</vt:lpstr>
      <vt:lpstr>Thất nghiệp, thiếu việc làm</vt:lpstr>
      <vt:lpstr>Trình độ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2024-03-22T03:31:00Z</dcterms:created>
  <dcterms:modified xsi:type="dcterms:W3CDTF">2024-04-16T02:17:14Z</dcterms:modified>
</cp:coreProperties>
</file>